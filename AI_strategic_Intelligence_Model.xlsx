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3C156C-F841-4A00-BD77-B859BE1EAC23}" xr6:coauthVersionLast="47" xr6:coauthVersionMax="47" xr10:uidLastSave="{00000000-0000-0000-0000-000000000000}"/>
  <bookViews>
    <workbookView xWindow="-108" yWindow="-108" windowWidth="23256" windowHeight="13896" tabRatio="911" activeTab="8" xr2:uid="{76214B7B-904C-4C2A-8136-8A861BF13505}"/>
  </bookViews>
  <sheets>
    <sheet name="README" sheetId="1" r:id="rId1"/>
    <sheet name="Source_log" sheetId="2" r:id="rId2"/>
    <sheet name="Assumptions" sheetId="9" r:id="rId3"/>
    <sheet name="Market_Size_CAGR" sheetId="3" r:id="rId4"/>
    <sheet name="Maturity_Index" sheetId="4" r:id="rId5"/>
    <sheet name="Sector_Adoption" sheetId="5" r:id="rId6"/>
    <sheet name="Enablers_Govt" sheetId="6" r:id="rId7"/>
    <sheet name="Bottlenecks" sheetId="7" r:id="rId8"/>
    <sheet name="Frameworks_Output" sheetId="8" r:id="rId9"/>
  </sheets>
  <definedNames>
    <definedName name="_xlchart.v2.0" hidden="1">Bottlenecks!$A$2:$A$6</definedName>
    <definedName name="_xlchart.v2.1" hidden="1">Bottlenecks!$B$1</definedName>
    <definedName name="_xlchart.v2.2" hidden="1">Bottlenecks!$B$2:$B$6</definedName>
    <definedName name="_xlchart.v2.3" hidden="1">Bottlenecks!$A$2:$A$6</definedName>
    <definedName name="_xlchart.v2.4" hidden="1">Bottlenecks!$B$1</definedName>
    <definedName name="_xlchart.v2.5" hidden="1">Bottlenecks!$B$2:$B$6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F3" i="5"/>
  <c r="F5" i="5"/>
  <c r="F6" i="5"/>
  <c r="F4" i="5"/>
  <c r="F7" i="5"/>
  <c r="F2" i="5"/>
  <c r="B9" i="4"/>
  <c r="F3" i="4"/>
  <c r="F4" i="4"/>
  <c r="F5" i="4"/>
  <c r="F6" i="4"/>
  <c r="F7" i="4"/>
  <c r="D2" i="3" a="1"/>
  <c r="D2" i="3" s="1"/>
  <c r="D3" i="3" a="1"/>
  <c r="D3" i="3" s="1"/>
  <c r="D4" i="3" a="1"/>
  <c r="D4" i="3" s="1"/>
  <c r="D5" i="3" a="1"/>
  <c r="D5" i="3" s="1"/>
  <c r="D6" i="3" a="1"/>
  <c r="D6" i="3" s="1"/>
  <c r="C2" i="3" a="1"/>
  <c r="C2" i="3"/>
  <c r="C3" i="3" a="1"/>
  <c r="C3" i="3" s="1"/>
  <c r="C4" i="3" a="1"/>
  <c r="C4" i="3" s="1"/>
  <c r="C5" i="3" a="1"/>
  <c r="C5" i="3" s="1"/>
  <c r="C6" i="3" a="1"/>
  <c r="C6" i="3" s="1"/>
  <c r="B2" i="3" a="1"/>
  <c r="B2" i="3" s="1"/>
  <c r="B3" i="3" a="1"/>
  <c r="B3" i="3" s="1"/>
  <c r="B4" i="3" a="1"/>
  <c r="B4" i="3" s="1"/>
  <c r="B5" i="3" a="1"/>
  <c r="B5" i="3" s="1"/>
  <c r="B6" i="3" a="1"/>
  <c r="B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<sst xmlns="http://schemas.openxmlformats.org/spreadsheetml/2006/main" count="296" uniqueCount="229">
  <si>
    <t>Source_ID</t>
  </si>
  <si>
    <t>Publisher</t>
  </si>
  <si>
    <t>Title</t>
  </si>
  <si>
    <t>Year/Date</t>
  </si>
  <si>
    <t>Geography</t>
  </si>
  <si>
    <t>Metric(s) used</t>
  </si>
  <si>
    <t>Exact number(s)</t>
  </si>
  <si>
    <t>Notes/Definition</t>
  </si>
  <si>
    <t>Link</t>
  </si>
  <si>
    <t>S1</t>
  </si>
  <si>
    <t>NASSCOM</t>
  </si>
  <si>
    <t>AI Adoption Index 2.0 – Tracking India’s Sectoral Progress</t>
  </si>
  <si>
    <t>Aug 29, 2024</t>
  </si>
  <si>
    <t>India</t>
  </si>
  <si>
    <t>AI Maturity Index Score</t>
  </si>
  <si>
    <t>2.47 / 4</t>
  </si>
  <si>
    <t>Average enterprise AI maturity score; classified as “Enthusiast” stage. Measures adoption depth, governance, scaling capability.</t>
  </si>
  <si>
    <t>S2</t>
  </si>
  <si>
    <t>NASSCOM + BCG</t>
  </si>
  <si>
    <t>India AI Market Outlook Report</t>
  </si>
  <si>
    <t>AI industry projected growth across sectors including BFSI, Retail, Healthcare, Manufacturing. CAGR reflects expected annual growth rate through 2027.</t>
  </si>
  <si>
    <t>S3</t>
  </si>
  <si>
    <t>S4</t>
  </si>
  <si>
    <t>S5</t>
  </si>
  <si>
    <t>S6</t>
  </si>
  <si>
    <t>S7</t>
  </si>
  <si>
    <t>S8</t>
  </si>
  <si>
    <t>S9</t>
  </si>
  <si>
    <t>S10</t>
  </si>
  <si>
    <t>Press Information Bureau (Government of India)</t>
  </si>
  <si>
    <t>IndiaAI Mission – National AI Compute Infrastructure</t>
  </si>
  <si>
    <t>Feb 13, 2026</t>
  </si>
  <si>
    <t>National AI Compute Capacity</t>
  </si>
  <si>
    <t>38,000+ GPUs planned</t>
  </si>
  <si>
    <t>Government-backed compute infrastructure to support AI startups and research</t>
  </si>
  <si>
    <t>https://pib.gov.in/</t>
  </si>
  <si>
    <t>IndiaAI Mission – Subsidized AI Compute Pricing</t>
  </si>
  <si>
    <t>Dec 30, 2025</t>
  </si>
  <si>
    <t>AI Compute Cost</t>
  </si>
  <si>
    <t>₹65 per GPU hour</t>
  </si>
  <si>
    <t>Subsidized pricing under IndiaAI mission to enable affordable AI development</t>
  </si>
  <si>
    <t>EY + Confederation of Indian Industry (CII)</t>
  </si>
  <si>
    <t>AI Adoption in Indian Enterprises Report</t>
  </si>
  <si>
    <t>Nov 16, 2025</t>
  </si>
  <si>
    <t>Enterprise AI adoption</t>
  </si>
  <si>
    <t>47% enterprises have multiple AI use cases in production</t>
  </si>
  <si>
    <t>Indicates shift from experimentation to scaled AI deployments</t>
  </si>
  <si>
    <t>https://www.ey.com/</t>
  </si>
  <si>
    <t>Stanford University – AI Index Report</t>
  </si>
  <si>
    <t>AI Index Report</t>
  </si>
  <si>
    <t>Global (India reference)</t>
  </si>
  <si>
    <t>AI investment and adoption trends</t>
  </si>
  <si>
    <t>Global AI investment trends and adoption indicators</t>
  </si>
  <si>
    <t>Benchmark for global AI ecosystem development and investment trends</t>
  </si>
  <si>
    <t>https://aiindex.stanford.edu</t>
  </si>
  <si>
    <t>McKinsey &amp; Company</t>
  </si>
  <si>
    <t>PwC</t>
  </si>
  <si>
    <t>World Economic Forum</t>
  </si>
  <si>
    <t>India AI Startup Ecosystem Landscape</t>
  </si>
  <si>
    <t>Future of Jobs Report</t>
  </si>
  <si>
    <t>Sizing the Prize – AI Economic Impact</t>
  </si>
  <si>
    <t>State of AI 2023/2024</t>
  </si>
  <si>
    <t xml:space="preserve">Global </t>
  </si>
  <si>
    <t>Enterprise AI adoption patterns</t>
  </si>
  <si>
    <t>50%+ organizations using AI in at least one function</t>
  </si>
  <si>
    <t>Global enterprise adoption benchmark used to compare India maturity stage</t>
  </si>
  <si>
    <t>https://www.mckinsey.com/</t>
  </si>
  <si>
    <t>Economic impact of AI</t>
  </si>
  <si>
    <t>$15.7T potential global AI contribution by 2030</t>
  </si>
  <si>
    <t>Shows macroeconomic scale of AI adoption globally</t>
  </si>
  <si>
    <t>https://www.pwc.com/</t>
  </si>
  <si>
    <t>AI talent demand growth</t>
  </si>
  <si>
    <t>AI &amp; ML specialists among fastest growing jobs</t>
  </si>
  <si>
    <t>Talent availability as a key enabler of AI adoption</t>
  </si>
  <si>
    <t>https://www.weforum.org/</t>
  </si>
  <si>
    <t>AI startup ecosystem growth</t>
  </si>
  <si>
    <t>1500+ AI startups in India</t>
  </si>
  <si>
    <t>Shows innovation ecosystem supporting AI growth</t>
  </si>
  <si>
    <t>https://nasscom.in/</t>
  </si>
  <si>
    <t>Metric_Category</t>
  </si>
  <si>
    <t>Confidence</t>
  </si>
  <si>
    <t>Adoption / Maturity</t>
  </si>
  <si>
    <t>Market</t>
  </si>
  <si>
    <t>Infrastructure</t>
  </si>
  <si>
    <t>Infrastructure / Policy</t>
  </si>
  <si>
    <t>Adoption</t>
  </si>
  <si>
    <t>Ecosystem / Benchmark</t>
  </si>
  <si>
    <t>Adoption Benchmark</t>
  </si>
  <si>
    <t>Market Potential</t>
  </si>
  <si>
    <t>Talent</t>
  </si>
  <si>
    <t>Ecosystem</t>
  </si>
  <si>
    <t>High</t>
  </si>
  <si>
    <t>Medium</t>
  </si>
  <si>
    <t xml:space="preserve">Market Size Forecast; </t>
  </si>
  <si>
    <t xml:space="preserve">~$17B by 2027; </t>
  </si>
  <si>
    <t>Assumption</t>
  </si>
  <si>
    <t>Value</t>
  </si>
  <si>
    <t>Unit</t>
  </si>
  <si>
    <t>Notes</t>
  </si>
  <si>
    <t>Market size(2027)</t>
  </si>
  <si>
    <t>USD bn</t>
  </si>
  <si>
    <t>India AI market forecast</t>
  </si>
  <si>
    <t>CAGR (Low)</t>
  </si>
  <si>
    <t>CAGR (BASE)</t>
  </si>
  <si>
    <t>CAGR (High)</t>
  </si>
  <si>
    <t>Start year</t>
  </si>
  <si>
    <t>End year</t>
  </si>
  <si>
    <t>%</t>
  </si>
  <si>
    <t>Year</t>
  </si>
  <si>
    <t>Lower bound</t>
  </si>
  <si>
    <t>Midpoint assumption</t>
  </si>
  <si>
    <t>Upper bound</t>
  </si>
  <si>
    <t>Model start</t>
  </si>
  <si>
    <t>Matches forecast year</t>
  </si>
  <si>
    <t>Column1</t>
  </si>
  <si>
    <t>Market_Size_Base</t>
  </si>
  <si>
    <t>Market_Size_Low</t>
  </si>
  <si>
    <t>Market_Size_High</t>
  </si>
  <si>
    <t>Parameter</t>
  </si>
  <si>
    <t>Low CAGR</t>
  </si>
  <si>
    <t>High CAGR</t>
  </si>
  <si>
    <t>Base CAGr</t>
  </si>
  <si>
    <t>Sector</t>
  </si>
  <si>
    <t>Adoption_0_4</t>
  </si>
  <si>
    <t>Data_0_4</t>
  </si>
  <si>
    <t>Talent_0_4</t>
  </si>
  <si>
    <t>Infrastructure_0_4</t>
  </si>
  <si>
    <t>Weighted_Score</t>
  </si>
  <si>
    <t>BFSI</t>
  </si>
  <si>
    <t>Healthcare</t>
  </si>
  <si>
    <t>Manufacturing</t>
  </si>
  <si>
    <t>Retail &amp; E-commerce</t>
  </si>
  <si>
    <t>Government / Public Sector</t>
  </si>
  <si>
    <t>IT &amp; ITeS</t>
  </si>
  <si>
    <t>Score</t>
  </si>
  <si>
    <t>Meaning</t>
  </si>
  <si>
    <t>No AI adoption</t>
  </si>
  <si>
    <t>Experimentation / pilots</t>
  </si>
  <si>
    <t>Limited production use</t>
  </si>
  <si>
    <t>Multiple AI use cases deployed</t>
  </si>
  <si>
    <t>AI integrated into core operations</t>
  </si>
  <si>
    <t>Dimension</t>
  </si>
  <si>
    <t>Weight</t>
  </si>
  <si>
    <t>Data</t>
  </si>
  <si>
    <t>Overall AI Maturity Score</t>
  </si>
  <si>
    <t>Market_Potential_0_5</t>
  </si>
  <si>
    <t>AI_Adoption_0_5</t>
  </si>
  <si>
    <t>Data_Availability_0_5</t>
  </si>
  <si>
    <t>Infrastructure_0_5</t>
  </si>
  <si>
    <t>Opportunity_Score</t>
  </si>
  <si>
    <t>Maturity_Score</t>
  </si>
  <si>
    <t>Position</t>
  </si>
  <si>
    <t>Strategy</t>
  </si>
  <si>
    <t>High maturity + high opportunity</t>
  </si>
  <si>
    <t>Scale AI deployments</t>
  </si>
  <si>
    <t>Expand AI applications</t>
  </si>
  <si>
    <t>Medium maturity + high opportunity</t>
  </si>
  <si>
    <t>Invest in AI capabilities</t>
  </si>
  <si>
    <t>Develop data infrastructure</t>
  </si>
  <si>
    <t>Medium maturity + lower opportunity</t>
  </si>
  <si>
    <t>Targeted AI adoption</t>
  </si>
  <si>
    <t>Government</t>
  </si>
  <si>
    <t>High opportunity but low operational maturity</t>
  </si>
  <si>
    <t>Long-term transformation</t>
  </si>
  <si>
    <t>Stage</t>
  </si>
  <si>
    <t>% of Projects</t>
  </si>
  <si>
    <t>Ideas Identified</t>
  </si>
  <si>
    <t>Pilot Projects</t>
  </si>
  <si>
    <t>Validated Models</t>
  </si>
  <si>
    <t>Production Deployment</t>
  </si>
  <si>
    <t>Scaled Enterprise AI</t>
  </si>
  <si>
    <t>Key AI Scaling Bottlenecks</t>
  </si>
  <si>
    <t>• Poor data quality and fragmented data systems</t>
  </si>
  <si>
    <t>• Integration challenges with legacy infrastructure</t>
  </si>
  <si>
    <t>• Lack of MLOps and model monitoring capabilities</t>
  </si>
  <si>
    <t>• Shortage of AI/ML talent</t>
  </si>
  <si>
    <t>• Regulatory and compliance barriers</t>
  </si>
  <si>
    <t>Enabler</t>
  </si>
  <si>
    <t>Category</t>
  </si>
  <si>
    <t>Key Metric</t>
  </si>
  <si>
    <t>Impact on AI Adoption</t>
  </si>
  <si>
    <t>IndiaAI Mission GPU Infrastructure</t>
  </si>
  <si>
    <t>Compute</t>
  </si>
  <si>
    <t>38,000+ GPUs</t>
  </si>
  <si>
    <t>Reduces compute cost and improves access to AI infrastructure</t>
  </si>
  <si>
    <t>Subsidized AI Compute Pricing</t>
  </si>
  <si>
    <t>Policy</t>
  </si>
  <si>
    <t>Makes AI experimentation affordable for startups and SMEs</t>
  </si>
  <si>
    <t>Enterprise AI Adoption Growth</t>
  </si>
  <si>
    <t>Industry</t>
  </si>
  <si>
    <t>47% enterprises running multiple AI use cases</t>
  </si>
  <si>
    <t>Indicates shift from pilot projects to production AI systems</t>
  </si>
  <si>
    <t>AI Startup Ecosystem Expansion</t>
  </si>
  <si>
    <t>1500+ AI startups</t>
  </si>
  <si>
    <t>Accelerates innovation and AI solution development</t>
  </si>
  <si>
    <t>AI Talent Demand Growth</t>
  </si>
  <si>
    <t>AI/ML specialists fastest-growing job category</t>
  </si>
  <si>
    <t>Expands workforce capable of building AI systems</t>
  </si>
  <si>
    <t>Key AI Adoption Enablers in India</t>
  </si>
  <si>
    <t>• Government-backed compute infrastructure (IndiaAI Mission)</t>
  </si>
  <si>
    <t>• Rapid growth of AI startups and innovation ecosystem</t>
  </si>
  <si>
    <t>• Increasing enterprise adoption across industries</t>
  </si>
  <si>
    <t>• Strong demand for AI talent and skills development</t>
  </si>
  <si>
    <t>Analysis Area</t>
  </si>
  <si>
    <t>Key Insight</t>
  </si>
  <si>
    <t>Evidence</t>
  </si>
  <si>
    <t>Strategic Implication</t>
  </si>
  <si>
    <t>AI Market Growth</t>
  </si>
  <si>
    <t>India AI market projected to reach ~$17B by 2027</t>
  </si>
  <si>
    <t>Market_Size_CAGR model and NASSCOM–BCG report</t>
  </si>
  <si>
    <t>Significant growth opportunity for AI investments</t>
  </si>
  <si>
    <t>Sector AI Maturity</t>
  </si>
  <si>
    <t>Average AI maturity score ≈2.7, indicating early scaling stage</t>
  </si>
  <si>
    <t>Maturity_Index heatmap and weighted scoring model</t>
  </si>
  <si>
    <t>Organizations are transitioning from experimentation to deployment</t>
  </si>
  <si>
    <t>AI Sector Opportunity</t>
  </si>
  <si>
    <t>IT, BFSI, and Retail sectors show highest AI opportunity scores</t>
  </si>
  <si>
    <t>Opportunity scoring model and ranking chart</t>
  </si>
  <si>
    <t>AI deployment should prioritize data-rich industries</t>
  </si>
  <si>
    <t>AI Adoption Bottlenecks</t>
  </si>
  <si>
    <t>Only ~15% of AI projects scale to enterprise deployment</t>
  </si>
  <si>
    <t>Pilot-to-production funnel analysis</t>
  </si>
  <si>
    <t>Organizations must improve MLOps, data quality, and integration capabilities</t>
  </si>
  <si>
    <t>AI Ecosystem Enablers</t>
  </si>
  <si>
    <t>Government initiatives and startup growth accelerate AI adoption</t>
  </si>
  <si>
    <t>Enablers_Govt analysis and IndiaAI mission</t>
  </si>
  <si>
    <t>Policy support and infrastructure will enable rapid AI expansion</t>
  </si>
  <si>
    <t>Overall Strategic Conclusion</t>
  </si>
  <si>
    <r>
      <t xml:space="preserve">India’s AI ecosystem is transitioning from </t>
    </r>
    <r>
      <rPr>
        <b/>
        <sz val="11"/>
        <color theme="1"/>
        <rFont val="Calibri"/>
        <family val="2"/>
        <scheme val="minor"/>
      </rPr>
      <t>early experimentation to scaled enterprise adoption</t>
    </r>
    <r>
      <rPr>
        <sz val="11"/>
        <color theme="1"/>
        <rFont val="Calibri"/>
        <family val="2"/>
        <scheme val="minor"/>
      </rPr>
      <t xml:space="preserve">, with strong growth potential driven by </t>
    </r>
    <r>
      <rPr>
        <b/>
        <sz val="11"/>
        <color theme="1"/>
        <rFont val="Calibri"/>
        <family val="2"/>
        <scheme val="minor"/>
      </rPr>
      <t>policy support, startup innovation, and increasing enterprise demand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</si>
</sst>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17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India AI Market Growth Forecast (2023–2027)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Market_Size_CAGR!$B$1</c:f>
              <c:strCache>
                <c:ptCount val="1"/>
                <c:pt idx="0">
                  <c:v>Market_Size_Base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Market_Size_CAGR!$A$2:$A$6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Market_Size_CAGR!$B$2:$B$6</c:f>
              <c:numCache>
                <c:formatCode>0.0</c:formatCode>
                <c:ptCount val="5"/>
                <c:pt idx="0">
                  <c:v>5.952172542978186</c:v>
                </c:pt>
                <c:pt idx="1">
                  <c:v>7.7378243058716416</c:v>
                </c:pt>
                <c:pt idx="2">
                  <c:v>10.059171597633135</c:v>
                </c:pt>
                <c:pt idx="3">
                  <c:v>13.076923076923077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6-4A6B-9FCA-F628C957E4F4}"/>
            </c:ext>
          </c:extLst>
        </c:ser>
        <c:ser>
          <c:idx val="2"/>
          <c:order val="1"/>
          <c:tx>
            <c:strRef>
              <c:f>Market_Size_CAGR!$C$1</c:f>
              <c:strCache>
                <c:ptCount val="1"/>
                <c:pt idx="0">
                  <c:v>Market_Size_Low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Market_Size_CAGR!$A$2:$A$6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Market_Size_CAGR!$C$2:$C$6</c:f>
              <c:numCache>
                <c:formatCode>0.0</c:formatCode>
                <c:ptCount val="5"/>
                <c:pt idx="0">
                  <c:v>6.9631999999999996</c:v>
                </c:pt>
                <c:pt idx="1">
                  <c:v>8.7040000000000006</c:v>
                </c:pt>
                <c:pt idx="2">
                  <c:v>10.88</c:v>
                </c:pt>
                <c:pt idx="3">
                  <c:v>13.6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6-4A6B-9FCA-F628C957E4F4}"/>
            </c:ext>
          </c:extLst>
        </c:ser>
        <c:ser>
          <c:idx val="3"/>
          <c:order val="2"/>
          <c:tx>
            <c:strRef>
              <c:f>Market_Size_CAGR!$D$1</c:f>
              <c:strCache>
                <c:ptCount val="1"/>
                <c:pt idx="0">
                  <c:v>Market_Size_High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Market_Size_CAGR!$A$2:$A$6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Market_Size_CAGR!$D$2:$D$6</c:f>
              <c:numCache>
                <c:formatCode>0.0</c:formatCode>
                <c:ptCount val="5"/>
                <c:pt idx="0">
                  <c:v>5.1181598709922627</c:v>
                </c:pt>
                <c:pt idx="1">
                  <c:v>6.9095158258395557</c:v>
                </c:pt>
                <c:pt idx="2">
                  <c:v>9.3278463648834009</c:v>
                </c:pt>
                <c:pt idx="3">
                  <c:v>12.592592592592592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D6-4A6B-9FCA-F628C957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746592"/>
        <c:axId val="1430152896"/>
      </c:lineChart>
      <c:catAx>
        <c:axId val="138774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52896"/>
        <c:crosses val="autoZero"/>
        <c:auto val="1"/>
        <c:lblAlgn val="ctr"/>
        <c:lblOffset val="100"/>
        <c:noMultiLvlLbl val="0"/>
      </c:catAx>
      <c:valAx>
        <c:axId val="14301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Axis Market Size (USD Billion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4222586759988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4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AI Sector Opportunity Ranking – India</a:t>
            </a:r>
            <a:endParaRPr lang="en-US"/>
          </a:p>
        </c:rich>
      </c:tx>
      <c:layout>
        <c:manualLayout>
          <c:xMode val="edge"/>
          <c:yMode val="edge"/>
          <c:x val="0.1919582239720034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Sector_Adoption!$F$1</c:f>
              <c:strCache>
                <c:ptCount val="1"/>
                <c:pt idx="0">
                  <c:v>Opportunity_Score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Sector_Adoption!$A$2:$A$7</c:f>
              <c:strCache>
                <c:ptCount val="6"/>
                <c:pt idx="0">
                  <c:v>IT &amp; ITeS</c:v>
                </c:pt>
                <c:pt idx="1">
                  <c:v>BFSI</c:v>
                </c:pt>
                <c:pt idx="2">
                  <c:v>Retail &amp; E-commerce</c:v>
                </c:pt>
                <c:pt idx="3">
                  <c:v>Healthcare</c:v>
                </c:pt>
                <c:pt idx="4">
                  <c:v>Manufacturing</c:v>
                </c:pt>
                <c:pt idx="5">
                  <c:v>Government / Public Sector</c:v>
                </c:pt>
              </c:strCache>
            </c:strRef>
          </c:cat>
          <c:val>
            <c:numRef>
              <c:f>Sector_Adoption!$F$2:$F$7</c:f>
              <c:numCache>
                <c:formatCode>General</c:formatCode>
                <c:ptCount val="6"/>
                <c:pt idx="0">
                  <c:v>4.5</c:v>
                </c:pt>
                <c:pt idx="1">
                  <c:v>4.3</c:v>
                </c:pt>
                <c:pt idx="2">
                  <c:v>4.3</c:v>
                </c:pt>
                <c:pt idx="3">
                  <c:v>3.3</c:v>
                </c:pt>
                <c:pt idx="4">
                  <c:v>3.3</c:v>
                </c:pt>
                <c:pt idx="5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A-4626-93FC-700899FB1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8092735"/>
        <c:axId val="1958090335"/>
      </c:barChart>
      <c:catAx>
        <c:axId val="195809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090335"/>
        <c:crosses val="autoZero"/>
        <c:auto val="1"/>
        <c:lblAlgn val="ctr"/>
        <c:lblOffset val="100"/>
        <c:noMultiLvlLbl val="0"/>
      </c:catAx>
      <c:valAx>
        <c:axId val="195809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09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AI Opportunity vs Maturity Matrix – India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Sector_Adoption!$C$9</c:f>
              <c:strCache>
                <c:ptCount val="1"/>
                <c:pt idx="0">
                  <c:v>Opportunity_Score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145886868853446E-2"/>
                  <c:y val="5.6161446144268573E-2"/>
                </c:manualLayout>
              </c:layout>
              <c:tx>
                <c:rich>
                  <a:bodyPr/>
                  <a:lstStyle/>
                  <a:p>
                    <a:fld id="{CE48602C-406A-4F89-BA80-FF1EA8D05BB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949-4EBD-8D1E-14A1E8B36F78}"/>
                </c:ext>
              </c:extLst>
            </c:dLbl>
            <c:dLbl>
              <c:idx val="1"/>
              <c:layout>
                <c:manualLayout>
                  <c:x val="-1.5292093612336428E-2"/>
                  <c:y val="-8.0029547695586165E-2"/>
                </c:manualLayout>
              </c:layout>
              <c:tx>
                <c:rich>
                  <a:bodyPr/>
                  <a:lstStyle/>
                  <a:p>
                    <a:fld id="{E2029703-4048-4108-8C37-20AE67F27D6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949-4EBD-8D1E-14A1E8B36F78}"/>
                </c:ext>
              </c:extLst>
            </c:dLbl>
            <c:dLbl>
              <c:idx val="2"/>
              <c:layout>
                <c:manualLayout>
                  <c:x val="-0.24319722706028107"/>
                  <c:y val="-9.6726408574052514E-2"/>
                </c:manualLayout>
              </c:layout>
              <c:tx>
                <c:rich>
                  <a:bodyPr/>
                  <a:lstStyle/>
                  <a:p>
                    <a:fld id="{B48F9920-1415-4F06-8BE1-47C2D1BE553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038696733588931"/>
                      <c:h val="0.1218643240605173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949-4EBD-8D1E-14A1E8B36F78}"/>
                </c:ext>
              </c:extLst>
            </c:dLbl>
            <c:dLbl>
              <c:idx val="3"/>
              <c:layout>
                <c:manualLayout>
                  <c:x val="-5.9122806291409764E-2"/>
                  <c:y val="-5.5473793818964029E-2"/>
                </c:manualLayout>
              </c:layout>
              <c:tx>
                <c:rich>
                  <a:bodyPr/>
                  <a:lstStyle/>
                  <a:p>
                    <a:fld id="{6A60CA44-BD5E-4A4B-ABDB-C2CBE515CD3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49-4EBD-8D1E-14A1E8B36F78}"/>
                </c:ext>
              </c:extLst>
            </c:dLbl>
            <c:dLbl>
              <c:idx val="4"/>
              <c:layout>
                <c:manualLayout>
                  <c:x val="-0.11233275159976726"/>
                  <c:y val="6.1041875622062529E-2"/>
                </c:manualLayout>
              </c:layout>
              <c:tx>
                <c:rich>
                  <a:bodyPr/>
                  <a:lstStyle/>
                  <a:p>
                    <a:fld id="{84A45D22-67F2-4E36-8D83-AF548E223DE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949-4EBD-8D1E-14A1E8B36F78}"/>
                </c:ext>
              </c:extLst>
            </c:dLbl>
            <c:dLbl>
              <c:idx val="5"/>
              <c:layout>
                <c:manualLayout>
                  <c:x val="-1.5861829269881937E-3"/>
                  <c:y val="-9.5408821263437957E-2"/>
                </c:manualLayout>
              </c:layout>
              <c:tx>
                <c:rich>
                  <a:bodyPr/>
                  <a:lstStyle/>
                  <a:p>
                    <a:fld id="{3850D564-DC52-46DC-960D-3D359AC0F0E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16221521622748"/>
                      <c:h val="0.1218640463842659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949-4EBD-8D1E-14A1E8B36F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Sector_Adoption!$B$10:$B$15</c:f>
              <c:numCache>
                <c:formatCode>General</c:formatCode>
                <c:ptCount val="6"/>
                <c:pt idx="0">
                  <c:v>3.2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2.9</c:v>
                </c:pt>
                <c:pt idx="4">
                  <c:v>1.9</c:v>
                </c:pt>
                <c:pt idx="5">
                  <c:v>3.4</c:v>
                </c:pt>
              </c:numCache>
            </c:numRef>
          </c:xVal>
          <c:yVal>
            <c:numRef>
              <c:f>Sector_Adoption!$C$10:$C$15</c:f>
              <c:numCache>
                <c:formatCode>General</c:formatCode>
                <c:ptCount val="6"/>
                <c:pt idx="0">
                  <c:v>4.3</c:v>
                </c:pt>
                <c:pt idx="1">
                  <c:v>3.3</c:v>
                </c:pt>
                <c:pt idx="2">
                  <c:v>3.3</c:v>
                </c:pt>
                <c:pt idx="3">
                  <c:v>4.3</c:v>
                </c:pt>
                <c:pt idx="4">
                  <c:v>2.8</c:v>
                </c:pt>
                <c:pt idx="5">
                  <c:v>4.5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Sector_Adoption!$A$2:$A$7</c15:f>
                <c15:dlblRangeCache>
                  <c:ptCount val="6"/>
                  <c:pt idx="0">
                    <c:v>IT &amp; ITeS</c:v>
                  </c:pt>
                  <c:pt idx="1">
                    <c:v>BFSI</c:v>
                  </c:pt>
                  <c:pt idx="2">
                    <c:v>Retail &amp; E-commerce</c:v>
                  </c:pt>
                  <c:pt idx="3">
                    <c:v>Healthcare</c:v>
                  </c:pt>
                  <c:pt idx="4">
                    <c:v>Manufacturing</c:v>
                  </c:pt>
                  <c:pt idx="5">
                    <c:v>Government / Public Sector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949-4EBD-8D1E-14A1E8B3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087807"/>
        <c:axId val="1830088287"/>
      </c:scatterChart>
      <c:valAx>
        <c:axId val="183008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AI Maturity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88287"/>
        <c:crosses val="autoZero"/>
        <c:crossBetween val="midCat"/>
      </c:valAx>
      <c:valAx>
        <c:axId val="183008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AI Opportunity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8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AI Pilot-to-Production Funnel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F18945FD-7E98-4E56-8991-A5FBFD6482A2}">
          <cx:tx>
            <cx:txData>
              <cx:f>_xlchart.v2.1</cx:f>
              <cx:v>% of Projects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8</xdr:row>
      <xdr:rowOff>133350</xdr:rowOff>
    </xdr:from>
    <xdr:to>
      <xdr:col>9</xdr:col>
      <xdr:colOff>68580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66706-3252-8B50-4657-259DED879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7</xdr:row>
      <xdr:rowOff>118110</xdr:rowOff>
    </xdr:from>
    <xdr:to>
      <xdr:col>6</xdr:col>
      <xdr:colOff>22860</xdr:colOff>
      <xdr:row>21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9E2A4-D30E-D095-F74F-BFE382B2D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182880</xdr:colOff>
      <xdr:row>7</xdr:row>
      <xdr:rowOff>118110</xdr:rowOff>
    </xdr:from>
    <xdr:to>
      <xdr:col>13</xdr:col>
      <xdr:colOff>281940</xdr:colOff>
      <xdr:row>21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8A0340-B012-9D39-C010-3F1734EDA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175619</xdr:colOff>
      <xdr:row>12</xdr:row>
      <xdr:rowOff>103409</xdr:rowOff>
    </xdr:from>
    <xdr:to>
      <xdr:col>13</xdr:col>
      <xdr:colOff>107717</xdr:colOff>
      <xdr:row>12</xdr:row>
      <xdr:rowOff>111707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F277663-4257-6062-40AF-D3A7B72110B3}"/>
            </a:ext>
          </a:extLst>
        </xdr:cNvPr>
        <xdr:cNvCxnSpPr/>
      </xdr:nvCxnSpPr>
      <xdr:spPr>
        <a:xfrm>
          <a:off x="9170936" y="2333653"/>
          <a:ext cx="3574830" cy="82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1296852</xdr:colOff>
      <xdr:row>10</xdr:row>
      <xdr:rowOff>30105</xdr:rowOff>
    </xdr:from>
    <xdr:to>
      <xdr:col>9</xdr:col>
      <xdr:colOff>1304472</xdr:colOff>
      <xdr:row>18</xdr:row>
      <xdr:rowOff>144405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DF73C7C-3EB5-FD05-C7F6-F804E4FB3755}"/>
            </a:ext>
          </a:extLst>
        </xdr:cNvPr>
        <xdr:cNvCxnSpPr/>
      </xdr:nvCxnSpPr>
      <xdr:spPr>
        <a:xfrm flipH="1" flipV="1">
          <a:off x="14550209" y="1844391"/>
          <a:ext cx="7620" cy="15657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2</xdr:row>
      <xdr:rowOff>125730</xdr:rowOff>
    </xdr:from>
    <xdr:to>
      <xdr:col>10</xdr:col>
      <xdr:colOff>411480</xdr:colOff>
      <xdr:row>17</xdr:row>
      <xdr:rowOff>125730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8298BA-9A2F-32ED-E20A-23CEC67819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200" y="491490"/>
              <a:ext cx="4572000" cy="2788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5AC95-D697-47D8-BD72-147C8F659D11}" name="tbl_sources" displayName="tbl_sources" ref="A1:K11" totalsRowShown="0">
  <autoFilter ref="A1:K11" xr:uid="{8605AC95-D697-47D8-BD72-147C8F659D11}"/>
  <tableColumns count="11">
    <tableColumn id="1" xr3:uid="{FCD370F5-1515-4C47-87D2-67C4BA815195}" name="Source_ID"/>
    <tableColumn id="2" xr3:uid="{71032B68-E39E-4467-931C-6E093A4F682B}" name="Publisher"/>
    <tableColumn id="3" xr3:uid="{6D5F46B3-C4D6-4345-BD74-94FBD0F95BB3}" name="Title"/>
    <tableColumn id="4" xr3:uid="{18BB4B6B-A53F-4B03-8F33-69045A22F501}" name="Year/Date"/>
    <tableColumn id="5" xr3:uid="{EE1D23BC-AE40-43B8-9291-8F27FC3DED41}" name="Geography" dataDxfId="17"/>
    <tableColumn id="6" xr3:uid="{66984A4F-E46C-4835-922D-AF0FF024C948}" name="Metric(s) used"/>
    <tableColumn id="7" xr3:uid="{A227D89F-9721-46A5-A623-7E6F0C17BF9F}" name="Exact number(s)"/>
    <tableColumn id="8" xr3:uid="{4A2A5FDC-8B18-47C5-A765-5ACF6C9EDAF7}" name="Notes/Definition"/>
    <tableColumn id="9" xr3:uid="{B8DEFD96-6CBC-4A3E-86F7-A6A68A9A6181}" name="Link" dataCellStyle="Hyperlink"/>
    <tableColumn id="10" xr3:uid="{45DA4290-9FF9-46C1-9DD0-62B3A7C67421}" name="Metric_Category"/>
    <tableColumn id="11" xr3:uid="{1B6B529B-DC4A-4195-B0AE-C2CC75404829}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08A1B-46F5-4D60-8E0F-42B001879692}" name="tbl_assumptions" displayName="tbl_assumptions" ref="A1:E7" totalsRowShown="0">
  <autoFilter ref="A1:E7" xr:uid="{0B008A1B-46F5-4D60-8E0F-42B001879692}"/>
  <tableColumns count="5">
    <tableColumn id="1" xr3:uid="{50C07CA2-DD45-44C1-95DE-95576EF0B74D}" name="Assumption"/>
    <tableColumn id="2" xr3:uid="{2428EBF8-C6CB-4D9C-8ED6-73CC14990E27}" name="Value"/>
    <tableColumn id="3" xr3:uid="{8304990C-ED4F-4C6C-B6CC-3A076297BC8B}" name="Unit"/>
    <tableColumn id="4" xr3:uid="{D7FD20AA-3263-4CD1-A067-D0E4BD635A4B}" name="Source_ID"/>
    <tableColumn id="5" xr3:uid="{114D48B9-9DA3-4C72-AD06-3704179D047A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013FE9-B2CC-42C5-8EB0-0C5961CCCD16}" name="MS_2027" displayName="MS_2027" ref="B12:B13" totalsRowShown="0">
  <autoFilter ref="B12:B13" xr:uid="{6E013FE9-B2CC-42C5-8EB0-0C5961CCCD16}"/>
  <tableColumns count="1">
    <tableColumn id="1" xr3:uid="{68796AD8-C5DD-4C88-BA29-509CF04BCD49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6F863A-4DD4-4E7A-B47A-AD36933C26C2}" name="START_YEAR" displayName="START_YEAR" ref="B14:B15" totalsRowShown="0">
  <autoFilter ref="B14:B15" xr:uid="{646F863A-4DD4-4E7A-B47A-AD36933C26C2}"/>
  <tableColumns count="1">
    <tableColumn id="1" xr3:uid="{1A2680E6-25DB-438B-94EA-0ADBC5446D01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96A59-64BD-4620-88D6-8A05159EA08F}" name="END_YEAR" displayName="END_YEAR" ref="B16:B17" totalsRowShown="0">
  <autoFilter ref="B16:B17" xr:uid="{8E196A59-64BD-4620-88D6-8A05159EA08F}"/>
  <tableColumns count="1">
    <tableColumn id="1" xr3:uid="{537AD40F-1279-4873-85DB-088D087DA7DE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DF3A6E-D85F-4855-B0F7-56223856847C}" name="tbl_market_size" displayName="tbl_market_size" ref="A1:D6" totalsRowShown="0" headerRowDxfId="16">
  <autoFilter ref="A1:D6" xr:uid="{0FDF3A6E-D85F-4855-B0F7-56223856847C}"/>
  <tableColumns count="4">
    <tableColumn id="1" xr3:uid="{DD5657C8-A5DE-4A51-BC27-EE8A05AB6990}" name="Year"/>
    <tableColumn id="2" xr3:uid="{16EC4069-5924-4C81-B9ED-98D5DC851064}" name="Market_Size_Base" dataDxfId="15">
      <calculatedColumnFormula array="1">MS_2027[]/(1+0.3)^(END_YEAR[]-tbl_market_size[[#This Row],[Year]])</calculatedColumnFormula>
    </tableColumn>
    <tableColumn id="3" xr3:uid="{2AA1A624-3761-4E2E-9753-894C2231A7F7}" name="Market_Size_Low" dataDxfId="14">
      <calculatedColumnFormula array="1">MS_2027[]/(1+0.25)^(END_YEAR[]-tbl_market_size[[#This Row],[Year]])</calculatedColumnFormula>
    </tableColumn>
    <tableColumn id="4" xr3:uid="{525A1A87-66A2-41C6-B75B-711E68B5C7E9}" name="Market_Size_High" dataDxfId="13">
      <calculatedColumnFormula array="1">MS_2027[]/(1+0.35)^(END_YEAR[]-tbl_market_size[[#This Row],[Year]])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4C87A0-CDBE-4309-91F0-9584B459DD9D}" name="tbl_maturity" displayName="tbl_maturity" ref="A1:F7" totalsRowShown="0" headerRowDxfId="12">
  <autoFilter ref="A1:F7" xr:uid="{974C87A0-CDBE-4309-91F0-9584B459DD9D}"/>
  <tableColumns count="6">
    <tableColumn id="1" xr3:uid="{08FAB3E5-0358-4071-8C7E-0A5FCAE2F45D}" name="Sector"/>
    <tableColumn id="2" xr3:uid="{1AC1F7E0-E2EC-4D1B-ADEF-7AC30AD1EF97}" name="Adoption_0_4"/>
    <tableColumn id="3" xr3:uid="{D939EA65-1036-4146-A48C-92946573605A}" name="Data_0_4"/>
    <tableColumn id="4" xr3:uid="{871E9FE0-B020-41FE-A44A-7CA2354F5C85}" name="Talent_0_4"/>
    <tableColumn id="5" xr3:uid="{43910300-218A-48D6-AA61-E464B955DCE3}" name="Infrastructure_0_4"/>
    <tableColumn id="6" xr3:uid="{C661B24A-7361-4044-8D67-134CE67D25E0}" name="Weighted_Score" dataDxfId="11">
      <calculatedColumnFormula>tbl_maturity[[#This Row],[Adoption_0_4]]*0.35 + tbl_maturity[[#This Row],[Data_0_4]]*0.25 + tbl_maturity[[#This Row],[Talent_0_4]]*0.2 + tbl_maturity[[#This Row],[Infrastructure_0_4]]*0.2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B780E2-1FBA-4392-AAF0-400CAA4BAF5D}" name="tbl_opportunity" displayName="tbl_opportunity" ref="A1:F7" totalsRowShown="0">
  <autoFilter ref="A1:F7" xr:uid="{C8B780E2-1FBA-4392-AAF0-400CAA4BAF5D}"/>
  <sortState xmlns:xlrd2="http://schemas.microsoft.com/office/spreadsheetml/2017/richdata2" ref="A2:F7">
    <sortCondition descending="1" ref="F1:F7"/>
  </sortState>
  <tableColumns count="6">
    <tableColumn id="1" xr3:uid="{7F809BC6-FA31-4BCE-A076-F2EDB9D76FBE}" name="Sector"/>
    <tableColumn id="2" xr3:uid="{66FC18EE-F532-4033-8889-CA40F8ED8A68}" name="Market_Potential_0_5"/>
    <tableColumn id="3" xr3:uid="{D7393481-5B06-46D7-961A-B66998B8256F}" name="AI_Adoption_0_5"/>
    <tableColumn id="4" xr3:uid="{E6A096AC-0735-47C8-85DA-D96C9957834B}" name="Data_Availability_0_5"/>
    <tableColumn id="5" xr3:uid="{71EDDC0A-1AD4-4A1F-B99E-49919281920F}" name="Infrastructure_0_5"/>
    <tableColumn id="6" xr3:uid="{18D503D1-4520-4A4D-A464-6CFC882D1A92}" name="Opportunity_Score" dataDxfId="18">
      <calculatedColumnFormula>tbl_opportunity[[#This Row],[Market_Potential_0_5]]*0.3 + tbl_opportunity[[#This Row],[AI_Adoption_0_5]]*0.3 + tbl_opportunity[[#This Row],[Data_Availability_0_5]]*0.2 + tbl_opportunity[[#This Row],[Infrastructure_0_5]]*0.2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08C476-ABB9-4394-955C-24B447DC6C5F}" name="Table10" displayName="Table10" ref="A1:E6" totalsRowShown="0" headerRowDxfId="0" dataDxfId="1">
  <autoFilter ref="A1:E6" xr:uid="{4508C476-ABB9-4394-955C-24B447DC6C5F}"/>
  <tableColumns count="5">
    <tableColumn id="1" xr3:uid="{5BC7D198-7AE0-4933-8951-8CA3188C283E}" name="Enabler" dataDxfId="6"/>
    <tableColumn id="2" xr3:uid="{E363E8D4-3C05-4E8C-91FE-51575676520C}" name="Category" dataDxfId="5"/>
    <tableColumn id="3" xr3:uid="{0F90206D-FD29-4E46-AEA7-DF9D4BC7729B}" name="Key Metric" dataDxfId="4"/>
    <tableColumn id="4" xr3:uid="{8080E07E-0516-4C31-B459-B3BFAB4A7C97}" name="Impact on AI Adoption" dataDxfId="3"/>
    <tableColumn id="5" xr3:uid="{BD0D0502-63DA-4C0F-A5AF-690BB6014177}" name="Source_ID" dataDxf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75FD1A-A8BE-4A8C-8373-021D39DAFE39}" name="Table3" displayName="Table3" ref="A1:B6" totalsRowShown="0" headerRowDxfId="7" dataDxfId="8">
  <autoFilter ref="A1:B6" xr:uid="{A875FD1A-A8BE-4A8C-8373-021D39DAFE39}"/>
  <tableColumns count="2">
    <tableColumn id="1" xr3:uid="{4596B315-ECBD-4030-9194-E45B96A7B359}" name="Stage" dataDxfId="10"/>
    <tableColumn id="2" xr3:uid="{C1107C13-65D2-40E3-B9B7-A076D6AB8ACC}" name="% of Project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asscom.in/" TargetMode="External"/><Relationship Id="rId3" Type="http://schemas.openxmlformats.org/officeDocument/2006/relationships/hyperlink" Target="https://www.ey.com/" TargetMode="External"/><Relationship Id="rId7" Type="http://schemas.openxmlformats.org/officeDocument/2006/relationships/hyperlink" Target="https://www.weforum.org/" TargetMode="External"/><Relationship Id="rId2" Type="http://schemas.openxmlformats.org/officeDocument/2006/relationships/hyperlink" Target="https://www.mckinsey.com/" TargetMode="External"/><Relationship Id="rId1" Type="http://schemas.openxmlformats.org/officeDocument/2006/relationships/hyperlink" Target="https://aiindex.stanford.edu/" TargetMode="External"/><Relationship Id="rId6" Type="http://schemas.openxmlformats.org/officeDocument/2006/relationships/hyperlink" Target="https://www.pwc.com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pib.gov.in/" TargetMode="External"/><Relationship Id="rId10" Type="http://schemas.openxmlformats.org/officeDocument/2006/relationships/hyperlink" Target="https://nasscom.in/" TargetMode="External"/><Relationship Id="rId4" Type="http://schemas.openxmlformats.org/officeDocument/2006/relationships/hyperlink" Target="https://pib.gov.in/" TargetMode="External"/><Relationship Id="rId9" Type="http://schemas.openxmlformats.org/officeDocument/2006/relationships/hyperlink" Target="https://nasscom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C596-06C5-4FA9-AE56-6581869D3A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FF8-DB23-4590-A5FE-7A2CADE1E6AC}">
  <dimension ref="A1:K11"/>
  <sheetViews>
    <sheetView workbookViewId="0">
      <selection activeCell="H27" sqref="H27"/>
    </sheetView>
  </sheetViews>
  <sheetFormatPr defaultRowHeight="14.4" x14ac:dyDescent="0.3"/>
  <cols>
    <col min="1" max="1" width="5.88671875" customWidth="1"/>
    <col min="2" max="2" width="15.6640625" customWidth="1"/>
    <col min="3" max="3" width="47.5546875" customWidth="1"/>
    <col min="4" max="4" width="11.109375" customWidth="1"/>
    <col min="5" max="5" width="7.109375" customWidth="1"/>
    <col min="6" max="6" width="22.33203125" customWidth="1"/>
    <col min="7" max="7" width="20.88671875" customWidth="1"/>
    <col min="8" max="8" width="72.33203125" customWidth="1"/>
    <col min="9" max="9" width="23.21875" customWidth="1"/>
    <col min="10" max="10" width="16.88671875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79</v>
      </c>
      <c r="K1" t="s">
        <v>80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78</v>
      </c>
      <c r="J2" t="s">
        <v>81</v>
      </c>
      <c r="K2" t="s">
        <v>91</v>
      </c>
    </row>
    <row r="3" spans="1:11" x14ac:dyDescent="0.3">
      <c r="A3" t="s">
        <v>17</v>
      </c>
      <c r="B3" t="s">
        <v>18</v>
      </c>
      <c r="C3" s="2" t="s">
        <v>19</v>
      </c>
      <c r="D3" s="3">
        <v>45323</v>
      </c>
      <c r="E3" t="s">
        <v>13</v>
      </c>
      <c r="F3" t="s">
        <v>93</v>
      </c>
      <c r="G3" t="s">
        <v>94</v>
      </c>
      <c r="H3" t="s">
        <v>20</v>
      </c>
      <c r="I3" s="1" t="s">
        <v>78</v>
      </c>
      <c r="J3" t="s">
        <v>82</v>
      </c>
      <c r="K3" t="s">
        <v>91</v>
      </c>
    </row>
    <row r="4" spans="1:11" x14ac:dyDescent="0.3">
      <c r="A4" t="s">
        <v>21</v>
      </c>
      <c r="B4" t="s">
        <v>29</v>
      </c>
      <c r="C4" t="s">
        <v>30</v>
      </c>
      <c r="D4" t="s">
        <v>31</v>
      </c>
      <c r="E4" t="s">
        <v>13</v>
      </c>
      <c r="F4" t="s">
        <v>32</v>
      </c>
      <c r="G4" t="s">
        <v>33</v>
      </c>
      <c r="H4" t="s">
        <v>34</v>
      </c>
      <c r="I4" s="1" t="s">
        <v>35</v>
      </c>
      <c r="J4" t="s">
        <v>83</v>
      </c>
      <c r="K4" t="s">
        <v>91</v>
      </c>
    </row>
    <row r="5" spans="1:11" x14ac:dyDescent="0.3">
      <c r="A5" t="s">
        <v>22</v>
      </c>
      <c r="B5" t="s">
        <v>29</v>
      </c>
      <c r="C5" t="s">
        <v>36</v>
      </c>
      <c r="D5" t="s">
        <v>37</v>
      </c>
      <c r="E5" t="s">
        <v>13</v>
      </c>
      <c r="F5" t="s">
        <v>38</v>
      </c>
      <c r="G5" t="s">
        <v>39</v>
      </c>
      <c r="H5" t="s">
        <v>40</v>
      </c>
      <c r="I5" s="1" t="s">
        <v>35</v>
      </c>
      <c r="J5" t="s">
        <v>84</v>
      </c>
      <c r="K5" t="s">
        <v>91</v>
      </c>
    </row>
    <row r="6" spans="1:11" x14ac:dyDescent="0.3">
      <c r="A6" t="s">
        <v>23</v>
      </c>
      <c r="B6" t="s">
        <v>41</v>
      </c>
      <c r="C6" t="s">
        <v>42</v>
      </c>
      <c r="D6" t="s">
        <v>43</v>
      </c>
      <c r="E6" t="s">
        <v>13</v>
      </c>
      <c r="F6" t="s">
        <v>44</v>
      </c>
      <c r="G6" t="s">
        <v>45</v>
      </c>
      <c r="H6" t="s">
        <v>46</v>
      </c>
      <c r="I6" s="1" t="s">
        <v>47</v>
      </c>
      <c r="J6" t="s">
        <v>85</v>
      </c>
      <c r="K6" t="s">
        <v>91</v>
      </c>
    </row>
    <row r="7" spans="1:11" x14ac:dyDescent="0.3">
      <c r="A7" t="s">
        <v>24</v>
      </c>
      <c r="B7" t="s">
        <v>48</v>
      </c>
      <c r="C7" t="s">
        <v>49</v>
      </c>
      <c r="D7" s="3">
        <v>45383</v>
      </c>
      <c r="E7" t="s">
        <v>50</v>
      </c>
      <c r="F7" t="s">
        <v>51</v>
      </c>
      <c r="G7" t="s">
        <v>52</v>
      </c>
      <c r="H7" t="s">
        <v>53</v>
      </c>
      <c r="I7" s="1" t="s">
        <v>54</v>
      </c>
      <c r="J7" t="s">
        <v>86</v>
      </c>
      <c r="K7" t="s">
        <v>92</v>
      </c>
    </row>
    <row r="8" spans="1:11" x14ac:dyDescent="0.3">
      <c r="A8" t="s">
        <v>25</v>
      </c>
      <c r="B8" t="s">
        <v>55</v>
      </c>
      <c r="C8" t="s">
        <v>61</v>
      </c>
      <c r="D8">
        <v>2024</v>
      </c>
      <c r="E8" t="s">
        <v>62</v>
      </c>
      <c r="F8" t="s">
        <v>63</v>
      </c>
      <c r="G8" t="s">
        <v>64</v>
      </c>
      <c r="H8" t="s">
        <v>65</v>
      </c>
      <c r="I8" s="1" t="s">
        <v>66</v>
      </c>
      <c r="J8" t="s">
        <v>87</v>
      </c>
      <c r="K8" t="s">
        <v>92</v>
      </c>
    </row>
    <row r="9" spans="1:11" x14ac:dyDescent="0.3">
      <c r="A9" t="s">
        <v>26</v>
      </c>
      <c r="B9" t="s">
        <v>56</v>
      </c>
      <c r="C9" t="s">
        <v>60</v>
      </c>
      <c r="D9">
        <v>2024</v>
      </c>
      <c r="E9" t="s">
        <v>62</v>
      </c>
      <c r="F9" t="s">
        <v>67</v>
      </c>
      <c r="G9" t="s">
        <v>68</v>
      </c>
      <c r="H9" t="s">
        <v>69</v>
      </c>
      <c r="I9" s="1" t="s">
        <v>70</v>
      </c>
      <c r="J9" t="s">
        <v>88</v>
      </c>
      <c r="K9" t="s">
        <v>92</v>
      </c>
    </row>
    <row r="10" spans="1:11" x14ac:dyDescent="0.3">
      <c r="A10" t="s">
        <v>27</v>
      </c>
      <c r="B10" t="s">
        <v>57</v>
      </c>
      <c r="C10" t="s">
        <v>59</v>
      </c>
      <c r="D10">
        <v>2024</v>
      </c>
      <c r="E10" t="s">
        <v>62</v>
      </c>
      <c r="F10" t="s">
        <v>71</v>
      </c>
      <c r="G10" t="s">
        <v>72</v>
      </c>
      <c r="H10" t="s">
        <v>73</v>
      </c>
      <c r="I10" s="1" t="s">
        <v>74</v>
      </c>
      <c r="J10" t="s">
        <v>89</v>
      </c>
      <c r="K10" t="s">
        <v>92</v>
      </c>
    </row>
    <row r="11" spans="1:11" x14ac:dyDescent="0.3">
      <c r="A11" t="s">
        <v>28</v>
      </c>
      <c r="B11" t="s">
        <v>10</v>
      </c>
      <c r="C11" t="s">
        <v>58</v>
      </c>
      <c r="D11">
        <v>2024</v>
      </c>
      <c r="E11" t="s">
        <v>13</v>
      </c>
      <c r="F11" t="s">
        <v>75</v>
      </c>
      <c r="G11" t="s">
        <v>76</v>
      </c>
      <c r="H11" t="s">
        <v>77</v>
      </c>
      <c r="I11" s="1" t="s">
        <v>78</v>
      </c>
      <c r="J11" t="s">
        <v>90</v>
      </c>
      <c r="K11" t="s">
        <v>91</v>
      </c>
    </row>
  </sheetData>
  <phoneticPr fontId="3" type="noConversion"/>
  <hyperlinks>
    <hyperlink ref="I7" r:id="rId1" xr:uid="{7FED4EC1-E58C-469D-96E5-77630E34109E}"/>
    <hyperlink ref="I8" r:id="rId2" xr:uid="{A8C13BB7-1846-4607-8759-9307585209B5}"/>
    <hyperlink ref="I6" r:id="rId3" xr:uid="{B460DA41-AE78-4452-8C91-6A587D6E3034}"/>
    <hyperlink ref="I5" r:id="rId4" xr:uid="{0AEC9E80-0021-4293-BC41-A641AA3C6A36}"/>
    <hyperlink ref="I4" r:id="rId5" xr:uid="{1191DD91-D6E4-4CC7-BB84-358F74F9FD83}"/>
    <hyperlink ref="I9" r:id="rId6" xr:uid="{D098BD51-2142-4D16-A2D0-E72CE8B7A74B}"/>
    <hyperlink ref="I10" r:id="rId7" xr:uid="{83F66C10-01E8-44EA-BBB6-6B5DD61904DB}"/>
    <hyperlink ref="I11" r:id="rId8" xr:uid="{6D0BCEDD-F8B7-4F36-82B8-04E2CD48B77B}"/>
    <hyperlink ref="I3" r:id="rId9" xr:uid="{73C761E6-535B-4C51-A09C-50EEB9205E85}"/>
    <hyperlink ref="I2" r:id="rId10" xr:uid="{3620F86A-12ED-47C1-B2CF-8203F0092CB1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F045-11E2-40EA-A578-E6439484F616}">
  <dimension ref="A1:E17"/>
  <sheetViews>
    <sheetView workbookViewId="0">
      <selection activeCell="D15" sqref="D15"/>
    </sheetView>
  </sheetViews>
  <sheetFormatPr defaultRowHeight="14.4" x14ac:dyDescent="0.3"/>
  <cols>
    <col min="1" max="1" width="14.88671875" customWidth="1"/>
    <col min="2" max="2" width="10.44140625" customWidth="1"/>
    <col min="4" max="4" width="11.44140625" customWidth="1"/>
    <col min="5" max="5" width="23" customWidth="1"/>
  </cols>
  <sheetData>
    <row r="1" spans="1:5" x14ac:dyDescent="0.3">
      <c r="A1" t="s">
        <v>95</v>
      </c>
      <c r="B1" t="s">
        <v>96</v>
      </c>
      <c r="C1" t="s">
        <v>97</v>
      </c>
      <c r="D1" t="s">
        <v>0</v>
      </c>
      <c r="E1" t="s">
        <v>98</v>
      </c>
    </row>
    <row r="2" spans="1:5" x14ac:dyDescent="0.3">
      <c r="A2" t="s">
        <v>99</v>
      </c>
      <c r="B2">
        <v>17</v>
      </c>
      <c r="C2" t="s">
        <v>100</v>
      </c>
      <c r="D2" t="s">
        <v>17</v>
      </c>
      <c r="E2" t="s">
        <v>101</v>
      </c>
    </row>
    <row r="3" spans="1:5" x14ac:dyDescent="0.3">
      <c r="A3" t="s">
        <v>102</v>
      </c>
      <c r="B3">
        <v>0.25</v>
      </c>
      <c r="C3" t="s">
        <v>107</v>
      </c>
      <c r="D3" t="s">
        <v>17</v>
      </c>
      <c r="E3" t="s">
        <v>109</v>
      </c>
    </row>
    <row r="4" spans="1:5" x14ac:dyDescent="0.3">
      <c r="A4" t="s">
        <v>103</v>
      </c>
      <c r="B4">
        <v>0.3</v>
      </c>
      <c r="C4" t="s">
        <v>107</v>
      </c>
      <c r="D4" t="s">
        <v>17</v>
      </c>
      <c r="E4" t="s">
        <v>110</v>
      </c>
    </row>
    <row r="5" spans="1:5" x14ac:dyDescent="0.3">
      <c r="A5" t="s">
        <v>104</v>
      </c>
      <c r="B5">
        <v>0.35</v>
      </c>
      <c r="C5" t="s">
        <v>107</v>
      </c>
      <c r="D5" t="s">
        <v>17</v>
      </c>
      <c r="E5" t="s">
        <v>111</v>
      </c>
    </row>
    <row r="6" spans="1:5" x14ac:dyDescent="0.3">
      <c r="A6" t="s">
        <v>105</v>
      </c>
      <c r="B6">
        <v>2023</v>
      </c>
      <c r="C6" t="s">
        <v>108</v>
      </c>
      <c r="E6" t="s">
        <v>112</v>
      </c>
    </row>
    <row r="7" spans="1:5" x14ac:dyDescent="0.3">
      <c r="A7" t="s">
        <v>106</v>
      </c>
      <c r="B7">
        <v>2027</v>
      </c>
      <c r="C7" t="s">
        <v>108</v>
      </c>
      <c r="E7" t="s">
        <v>113</v>
      </c>
    </row>
    <row r="12" spans="1:5" x14ac:dyDescent="0.3">
      <c r="B12" t="s">
        <v>114</v>
      </c>
    </row>
    <row r="13" spans="1:5" x14ac:dyDescent="0.3">
      <c r="B13">
        <v>17</v>
      </c>
    </row>
    <row r="14" spans="1:5" x14ac:dyDescent="0.3">
      <c r="B14" t="s">
        <v>114</v>
      </c>
    </row>
    <row r="15" spans="1:5" x14ac:dyDescent="0.3">
      <c r="B15">
        <v>2023</v>
      </c>
    </row>
    <row r="16" spans="1:5" x14ac:dyDescent="0.3">
      <c r="B16" t="s">
        <v>114</v>
      </c>
    </row>
    <row r="17" spans="2:2" x14ac:dyDescent="0.3">
      <c r="B17">
        <v>2027</v>
      </c>
    </row>
  </sheetData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CF28-DBB0-4954-B419-64394AB28E56}">
  <dimension ref="A1:I6"/>
  <sheetViews>
    <sheetView workbookViewId="0">
      <selection activeCell="O24" sqref="O24"/>
    </sheetView>
  </sheetViews>
  <sheetFormatPr defaultRowHeight="14.4" x14ac:dyDescent="0.3"/>
  <cols>
    <col min="1" max="1" width="12" customWidth="1"/>
    <col min="2" max="2" width="22.77734375" customWidth="1"/>
    <col min="3" max="3" width="23.77734375" customWidth="1"/>
    <col min="4" max="4" width="25.88671875" customWidth="1"/>
    <col min="8" max="8" width="15.6640625" customWidth="1"/>
  </cols>
  <sheetData>
    <row r="1" spans="1:9" x14ac:dyDescent="0.3">
      <c r="A1" s="5" t="s">
        <v>108</v>
      </c>
      <c r="B1" s="5" t="s">
        <v>115</v>
      </c>
      <c r="C1" s="5" t="s">
        <v>116</v>
      </c>
      <c r="D1" s="5" t="s">
        <v>117</v>
      </c>
    </row>
    <row r="2" spans="1:9" x14ac:dyDescent="0.3">
      <c r="A2">
        <v>2023</v>
      </c>
      <c r="B2" s="6" cm="1">
        <f t="array" ref="B2">MS_2027[]/(1+0.3)^(END_YEAR[]-tbl_market_size[[#This Row],[Year]])</f>
        <v>5.952172542978186</v>
      </c>
      <c r="C2" s="6" cm="1">
        <f t="array" ref="C2">MS_2027[]/(1+0.25)^(END_YEAR[]-tbl_market_size[[#This Row],[Year]])</f>
        <v>6.9631999999999996</v>
      </c>
      <c r="D2" s="6" cm="1">
        <f t="array" ref="D2">MS_2027[]/(1+0.35)^(END_YEAR[]-tbl_market_size[[#This Row],[Year]])</f>
        <v>5.1181598709922627</v>
      </c>
      <c r="H2" s="4" t="s">
        <v>118</v>
      </c>
      <c r="I2" s="4" t="s">
        <v>96</v>
      </c>
    </row>
    <row r="3" spans="1:9" x14ac:dyDescent="0.3">
      <c r="A3">
        <v>2024</v>
      </c>
      <c r="B3" s="6" cm="1">
        <f t="array" ref="B3">MS_2027[]/(1+0.3)^(END_YEAR[]-tbl_market_size[[#This Row],[Year]])</f>
        <v>7.7378243058716416</v>
      </c>
      <c r="C3" s="6" cm="1">
        <f t="array" ref="C3">MS_2027[]/(1+0.25)^(END_YEAR[]-tbl_market_size[[#This Row],[Year]])</f>
        <v>8.7040000000000006</v>
      </c>
      <c r="D3" s="6" cm="1">
        <f t="array" ref="D3">MS_2027[]/(1+0.35)^(END_YEAR[]-tbl_market_size[[#This Row],[Year]])</f>
        <v>6.9095158258395557</v>
      </c>
      <c r="H3" s="2" t="s">
        <v>121</v>
      </c>
      <c r="I3" s="2">
        <v>0.3</v>
      </c>
    </row>
    <row r="4" spans="1:9" x14ac:dyDescent="0.3">
      <c r="A4">
        <v>2025</v>
      </c>
      <c r="B4" s="6" cm="1">
        <f t="array" ref="B4">MS_2027[]/(1+0.3)^(END_YEAR[]-tbl_market_size[[#This Row],[Year]])</f>
        <v>10.059171597633135</v>
      </c>
      <c r="C4" s="6" cm="1">
        <f t="array" ref="C4">MS_2027[]/(1+0.25)^(END_YEAR[]-tbl_market_size[[#This Row],[Year]])</f>
        <v>10.88</v>
      </c>
      <c r="D4" s="6" cm="1">
        <f t="array" ref="D4">MS_2027[]/(1+0.35)^(END_YEAR[]-tbl_market_size[[#This Row],[Year]])</f>
        <v>9.3278463648834009</v>
      </c>
      <c r="H4" s="2" t="s">
        <v>119</v>
      </c>
      <c r="I4" s="2">
        <v>0.25</v>
      </c>
    </row>
    <row r="5" spans="1:9" x14ac:dyDescent="0.3">
      <c r="A5">
        <v>2026</v>
      </c>
      <c r="B5" s="6" cm="1">
        <f t="array" ref="B5">MS_2027[]/(1+0.3)^(END_YEAR[]-tbl_market_size[[#This Row],[Year]])</f>
        <v>13.076923076923077</v>
      </c>
      <c r="C5" s="6" cm="1">
        <f t="array" ref="C5">MS_2027[]/(1+0.25)^(END_YEAR[]-tbl_market_size[[#This Row],[Year]])</f>
        <v>13.6</v>
      </c>
      <c r="D5" s="6" cm="1">
        <f t="array" ref="D5">MS_2027[]/(1+0.35)^(END_YEAR[]-tbl_market_size[[#This Row],[Year]])</f>
        <v>12.592592592592592</v>
      </c>
      <c r="H5" s="2" t="s">
        <v>120</v>
      </c>
      <c r="I5" s="2">
        <v>0.35</v>
      </c>
    </row>
    <row r="6" spans="1:9" x14ac:dyDescent="0.3">
      <c r="A6">
        <v>2027</v>
      </c>
      <c r="B6" s="6" cm="1">
        <f t="array" ref="B6">MS_2027[]/(1+0.3)^(END_YEAR[]-tbl_market_size[[#This Row],[Year]])</f>
        <v>17</v>
      </c>
      <c r="C6" s="6" cm="1">
        <f t="array" ref="C6">MS_2027[]/(1+0.25)^(END_YEAR[]-tbl_market_size[[#This Row],[Year]])</f>
        <v>17</v>
      </c>
      <c r="D6" s="6" cm="1">
        <f t="array" ref="D6">MS_2027[]/(1+0.35)^(END_YEAR[]-tbl_market_size[[#This Row],[Year]])</f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0145-03D9-434E-AAEF-0B7D9DC6FF4B}">
  <dimension ref="A1:J13"/>
  <sheetViews>
    <sheetView workbookViewId="0">
      <selection activeCell="E23" sqref="E23"/>
    </sheetView>
  </sheetViews>
  <sheetFormatPr defaultRowHeight="14.4" x14ac:dyDescent="0.3"/>
  <cols>
    <col min="1" max="1" width="29.109375" customWidth="1"/>
    <col min="2" max="2" width="22.88671875" customWidth="1"/>
    <col min="3" max="3" width="21" customWidth="1"/>
    <col min="4" max="4" width="21.109375" customWidth="1"/>
    <col min="5" max="5" width="18.44140625" customWidth="1"/>
    <col min="6" max="6" width="21.6640625" customWidth="1"/>
    <col min="9" max="9" width="16.109375" customWidth="1"/>
    <col min="10" max="10" width="34.77734375" customWidth="1"/>
  </cols>
  <sheetData>
    <row r="1" spans="1:10" x14ac:dyDescent="0.3">
      <c r="A1" s="4" t="s">
        <v>122</v>
      </c>
      <c r="B1" s="4" t="s">
        <v>123</v>
      </c>
      <c r="C1" s="4" t="s">
        <v>124</v>
      </c>
      <c r="D1" s="4" t="s">
        <v>125</v>
      </c>
      <c r="E1" s="4" t="s">
        <v>126</v>
      </c>
      <c r="F1" s="4" t="s">
        <v>127</v>
      </c>
      <c r="I1" s="4" t="s">
        <v>134</v>
      </c>
      <c r="J1" s="4" t="s">
        <v>135</v>
      </c>
    </row>
    <row r="2" spans="1:10" x14ac:dyDescent="0.3">
      <c r="A2" s="2" t="s">
        <v>128</v>
      </c>
      <c r="B2" s="2">
        <v>3.5</v>
      </c>
      <c r="C2" s="2">
        <v>3</v>
      </c>
      <c r="D2" s="2">
        <v>3</v>
      </c>
      <c r="E2" s="2">
        <v>3</v>
      </c>
      <c r="F2" s="6">
        <f>tbl_maturity[[#This Row],[Adoption_0_4]]*0.35 + tbl_maturity[[#This Row],[Data_0_4]]*0.25 + tbl_maturity[[#This Row],[Talent_0_4]]*0.2 + tbl_maturity[[#This Row],[Infrastructure_0_4]]*0.2</f>
        <v>3.1750000000000003</v>
      </c>
      <c r="I2" s="2">
        <v>0</v>
      </c>
      <c r="J2" s="2" t="s">
        <v>136</v>
      </c>
    </row>
    <row r="3" spans="1:10" x14ac:dyDescent="0.3">
      <c r="A3" s="2" t="s">
        <v>129</v>
      </c>
      <c r="B3" s="2">
        <v>2.5</v>
      </c>
      <c r="C3" s="2">
        <v>2.5</v>
      </c>
      <c r="D3" s="2">
        <v>2</v>
      </c>
      <c r="E3" s="2">
        <v>2</v>
      </c>
      <c r="F3" s="6">
        <f>tbl_maturity[[#This Row],[Adoption_0_4]]*0.35 + tbl_maturity[[#This Row],[Data_0_4]]*0.25 + tbl_maturity[[#This Row],[Talent_0_4]]*0.2 + tbl_maturity[[#This Row],[Infrastructure_0_4]]*0.2</f>
        <v>2.2999999999999998</v>
      </c>
      <c r="I3" s="2">
        <v>1</v>
      </c>
      <c r="J3" s="2" t="s">
        <v>137</v>
      </c>
    </row>
    <row r="4" spans="1:10" x14ac:dyDescent="0.3">
      <c r="A4" s="2" t="s">
        <v>130</v>
      </c>
      <c r="B4" s="2">
        <v>2.5</v>
      </c>
      <c r="C4" s="2">
        <v>2</v>
      </c>
      <c r="D4" s="2">
        <v>2</v>
      </c>
      <c r="E4" s="2">
        <v>2.5</v>
      </c>
      <c r="F4" s="6">
        <f>tbl_maturity[[#This Row],[Adoption_0_4]]*0.35 + tbl_maturity[[#This Row],[Data_0_4]]*0.25 + tbl_maturity[[#This Row],[Talent_0_4]]*0.2 + tbl_maturity[[#This Row],[Infrastructure_0_4]]*0.2</f>
        <v>2.2749999999999999</v>
      </c>
      <c r="I4" s="2">
        <v>2</v>
      </c>
      <c r="J4" s="2" t="s">
        <v>138</v>
      </c>
    </row>
    <row r="5" spans="1:10" x14ac:dyDescent="0.3">
      <c r="A5" s="2" t="s">
        <v>131</v>
      </c>
      <c r="B5" s="2">
        <v>3</v>
      </c>
      <c r="C5" s="2">
        <v>3</v>
      </c>
      <c r="D5" s="2">
        <v>2.5</v>
      </c>
      <c r="E5" s="2">
        <v>3</v>
      </c>
      <c r="F5" s="6">
        <f>tbl_maturity[[#This Row],[Adoption_0_4]]*0.35 + tbl_maturity[[#This Row],[Data_0_4]]*0.25 + tbl_maturity[[#This Row],[Talent_0_4]]*0.2 + tbl_maturity[[#This Row],[Infrastructure_0_4]]*0.2</f>
        <v>2.9</v>
      </c>
      <c r="I5" s="2">
        <v>3</v>
      </c>
      <c r="J5" s="2" t="s">
        <v>139</v>
      </c>
    </row>
    <row r="6" spans="1:10" x14ac:dyDescent="0.3">
      <c r="A6" s="2" t="s">
        <v>132</v>
      </c>
      <c r="B6" s="2">
        <v>2</v>
      </c>
      <c r="C6" s="2">
        <v>2</v>
      </c>
      <c r="D6" s="2">
        <v>1.5</v>
      </c>
      <c r="E6" s="2">
        <v>2</v>
      </c>
      <c r="F6" s="6">
        <f>tbl_maturity[[#This Row],[Adoption_0_4]]*0.35 + tbl_maturity[[#This Row],[Data_0_4]]*0.25 + tbl_maturity[[#This Row],[Talent_0_4]]*0.2 + tbl_maturity[[#This Row],[Infrastructure_0_4]]*0.2</f>
        <v>1.9</v>
      </c>
      <c r="I6" s="2">
        <v>4</v>
      </c>
      <c r="J6" s="2" t="s">
        <v>140</v>
      </c>
    </row>
    <row r="7" spans="1:10" x14ac:dyDescent="0.3">
      <c r="A7" s="2" t="s">
        <v>133</v>
      </c>
      <c r="B7" s="2">
        <v>3.5</v>
      </c>
      <c r="C7" s="2">
        <v>3.5</v>
      </c>
      <c r="D7" s="2">
        <v>3.5</v>
      </c>
      <c r="E7" s="2">
        <v>3</v>
      </c>
      <c r="F7" s="6">
        <f>tbl_maturity[[#This Row],[Adoption_0_4]]*0.35 + tbl_maturity[[#This Row],[Data_0_4]]*0.25 + tbl_maturity[[#This Row],[Talent_0_4]]*0.2 + tbl_maturity[[#This Row],[Infrastructure_0_4]]*0.2</f>
        <v>3.4</v>
      </c>
    </row>
    <row r="9" spans="1:10" x14ac:dyDescent="0.3">
      <c r="A9" t="s">
        <v>144</v>
      </c>
      <c r="B9" s="6">
        <f>AVERAGE(tbl_maturity[Weighted_Score])</f>
        <v>2.6583333333333337</v>
      </c>
      <c r="I9" s="4" t="s">
        <v>141</v>
      </c>
      <c r="J9" s="4" t="s">
        <v>142</v>
      </c>
    </row>
    <row r="10" spans="1:10" x14ac:dyDescent="0.3">
      <c r="I10" s="2" t="s">
        <v>85</v>
      </c>
      <c r="J10" s="2">
        <v>0.35</v>
      </c>
    </row>
    <row r="11" spans="1:10" x14ac:dyDescent="0.3">
      <c r="I11" s="2" t="s">
        <v>143</v>
      </c>
      <c r="J11" s="2">
        <v>0.25</v>
      </c>
    </row>
    <row r="12" spans="1:10" x14ac:dyDescent="0.3">
      <c r="I12" s="2" t="s">
        <v>89</v>
      </c>
      <c r="J12" s="2">
        <v>0.2</v>
      </c>
    </row>
    <row r="13" spans="1:10" x14ac:dyDescent="0.3">
      <c r="I13" s="2" t="s">
        <v>83</v>
      </c>
      <c r="J13" s="2">
        <v>0.2</v>
      </c>
    </row>
  </sheetData>
  <conditionalFormatting sqref="A1:E7">
    <cfRule type="colorScale" priority="1">
      <colorScale>
        <cfvo type="num" val="0"/>
        <cfvo type="num" val="2"/>
        <cfvo type="num" val="4"/>
        <color rgb="FFFF0000"/>
        <color rgb="FFFFFF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71C1-D853-444D-B6D7-57EE7242681D}">
  <dimension ref="A1:J30"/>
  <sheetViews>
    <sheetView zoomScale="85" workbookViewId="0">
      <selection activeCell="I5" sqref="I5"/>
    </sheetView>
  </sheetViews>
  <sheetFormatPr defaultRowHeight="14.4" x14ac:dyDescent="0.3"/>
  <cols>
    <col min="1" max="1" width="24.6640625" customWidth="1"/>
    <col min="2" max="2" width="21.5546875" customWidth="1"/>
    <col min="3" max="3" width="17.5546875" customWidth="1"/>
    <col min="4" max="4" width="21" customWidth="1"/>
    <col min="5" max="5" width="18.6640625" customWidth="1"/>
    <col min="6" max="6" width="18.88671875" customWidth="1"/>
    <col min="8" max="8" width="20.44140625" customWidth="1"/>
    <col min="9" max="9" width="41.5546875" customWidth="1"/>
    <col min="10" max="10" width="29.77734375" customWidth="1"/>
  </cols>
  <sheetData>
    <row r="1" spans="1:6" x14ac:dyDescent="0.3">
      <c r="A1" t="s">
        <v>122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 spans="1:6" x14ac:dyDescent="0.3">
      <c r="A2" t="s">
        <v>133</v>
      </c>
      <c r="B2">
        <v>4</v>
      </c>
      <c r="C2">
        <v>5</v>
      </c>
      <c r="D2">
        <v>5</v>
      </c>
      <c r="E2">
        <v>4</v>
      </c>
      <c r="F2">
        <f>tbl_opportunity[[#This Row],[Market_Potential_0_5]]*0.3 + tbl_opportunity[[#This Row],[AI_Adoption_0_5]]*0.3 + tbl_opportunity[[#This Row],[Data_Availability_0_5]]*0.2 + tbl_opportunity[[#This Row],[Infrastructure_0_5]]*0.2</f>
        <v>4.5</v>
      </c>
    </row>
    <row r="3" spans="1:6" x14ac:dyDescent="0.3">
      <c r="A3" t="s">
        <v>128</v>
      </c>
      <c r="B3">
        <v>5</v>
      </c>
      <c r="C3">
        <v>4</v>
      </c>
      <c r="D3">
        <v>4</v>
      </c>
      <c r="E3">
        <v>4</v>
      </c>
      <c r="F3">
        <f>tbl_opportunity[[#This Row],[Market_Potential_0_5]]*0.3 + tbl_opportunity[[#This Row],[AI_Adoption_0_5]]*0.3 + tbl_opportunity[[#This Row],[Data_Availability_0_5]]*0.2 + tbl_opportunity[[#This Row],[Infrastructure_0_5]]*0.2</f>
        <v>4.3</v>
      </c>
    </row>
    <row r="4" spans="1:6" x14ac:dyDescent="0.3">
      <c r="A4" t="s">
        <v>131</v>
      </c>
      <c r="B4">
        <v>5</v>
      </c>
      <c r="C4">
        <v>4</v>
      </c>
      <c r="D4">
        <v>4</v>
      </c>
      <c r="E4">
        <v>4</v>
      </c>
      <c r="F4">
        <f>tbl_opportunity[[#This Row],[Market_Potential_0_5]]*0.3 + tbl_opportunity[[#This Row],[AI_Adoption_0_5]]*0.3 + tbl_opportunity[[#This Row],[Data_Availability_0_5]]*0.2 + tbl_opportunity[[#This Row],[Infrastructure_0_5]]*0.2</f>
        <v>4.3</v>
      </c>
    </row>
    <row r="5" spans="1:6" x14ac:dyDescent="0.3">
      <c r="A5" t="s">
        <v>129</v>
      </c>
      <c r="B5">
        <v>4</v>
      </c>
      <c r="C5">
        <v>3</v>
      </c>
      <c r="D5">
        <v>3</v>
      </c>
      <c r="E5">
        <v>3</v>
      </c>
      <c r="F5">
        <f>tbl_opportunity[[#This Row],[Market_Potential_0_5]]*0.3 + tbl_opportunity[[#This Row],[AI_Adoption_0_5]]*0.3 + tbl_opportunity[[#This Row],[Data_Availability_0_5]]*0.2 + tbl_opportunity[[#This Row],[Infrastructure_0_5]]*0.2</f>
        <v>3.3</v>
      </c>
    </row>
    <row r="6" spans="1:6" x14ac:dyDescent="0.3">
      <c r="A6" t="s">
        <v>130</v>
      </c>
      <c r="B6">
        <v>4</v>
      </c>
      <c r="C6">
        <v>3</v>
      </c>
      <c r="D6">
        <v>3</v>
      </c>
      <c r="E6">
        <v>3</v>
      </c>
      <c r="F6">
        <f>tbl_opportunity[[#This Row],[Market_Potential_0_5]]*0.3 + tbl_opportunity[[#This Row],[AI_Adoption_0_5]]*0.3 + tbl_opportunity[[#This Row],[Data_Availability_0_5]]*0.2 + tbl_opportunity[[#This Row],[Infrastructure_0_5]]*0.2</f>
        <v>3.3</v>
      </c>
    </row>
    <row r="7" spans="1:6" x14ac:dyDescent="0.3">
      <c r="A7" t="s">
        <v>132</v>
      </c>
      <c r="B7">
        <v>4</v>
      </c>
      <c r="C7">
        <v>2</v>
      </c>
      <c r="D7">
        <v>2</v>
      </c>
      <c r="E7">
        <v>3</v>
      </c>
      <c r="F7">
        <f>tbl_opportunity[[#This Row],[Market_Potential_0_5]]*0.3 + tbl_opportunity[[#This Row],[AI_Adoption_0_5]]*0.3 + tbl_opportunity[[#This Row],[Data_Availability_0_5]]*0.2 + tbl_opportunity[[#This Row],[Infrastructure_0_5]]*0.2</f>
        <v>2.8</v>
      </c>
    </row>
    <row r="9" spans="1:6" x14ac:dyDescent="0.3">
      <c r="A9" s="5" t="s">
        <v>122</v>
      </c>
      <c r="B9" s="5" t="s">
        <v>150</v>
      </c>
      <c r="C9" s="5" t="s">
        <v>149</v>
      </c>
    </row>
    <row r="10" spans="1:6" x14ac:dyDescent="0.3">
      <c r="A10" t="s">
        <v>128</v>
      </c>
      <c r="B10">
        <v>3.2</v>
      </c>
      <c r="C10">
        <v>4.3</v>
      </c>
    </row>
    <row r="11" spans="1:6" x14ac:dyDescent="0.3">
      <c r="A11" t="s">
        <v>129</v>
      </c>
      <c r="B11">
        <v>2.2999999999999998</v>
      </c>
      <c r="C11">
        <v>3.3</v>
      </c>
    </row>
    <row r="12" spans="1:6" x14ac:dyDescent="0.3">
      <c r="A12" t="s">
        <v>130</v>
      </c>
      <c r="B12">
        <v>2.2999999999999998</v>
      </c>
      <c r="C12">
        <v>3.3</v>
      </c>
    </row>
    <row r="13" spans="1:6" x14ac:dyDescent="0.3">
      <c r="A13" t="s">
        <v>131</v>
      </c>
      <c r="B13">
        <v>2.9</v>
      </c>
      <c r="C13">
        <v>4.3</v>
      </c>
    </row>
    <row r="14" spans="1:6" x14ac:dyDescent="0.3">
      <c r="A14" t="s">
        <v>132</v>
      </c>
      <c r="B14">
        <v>1.9</v>
      </c>
      <c r="C14">
        <v>2.8</v>
      </c>
    </row>
    <row r="15" spans="1:6" x14ac:dyDescent="0.3">
      <c r="A15" t="s">
        <v>133</v>
      </c>
      <c r="B15">
        <v>3.4</v>
      </c>
      <c r="C15">
        <v>4.5</v>
      </c>
    </row>
    <row r="24" spans="8:10" x14ac:dyDescent="0.3">
      <c r="H24" s="4" t="s">
        <v>122</v>
      </c>
      <c r="I24" s="4" t="s">
        <v>151</v>
      </c>
      <c r="J24" s="4" t="s">
        <v>152</v>
      </c>
    </row>
    <row r="25" spans="8:10" x14ac:dyDescent="0.3">
      <c r="H25" s="2" t="s">
        <v>133</v>
      </c>
      <c r="I25" s="2" t="s">
        <v>153</v>
      </c>
      <c r="J25" s="2" t="s">
        <v>154</v>
      </c>
    </row>
    <row r="26" spans="8:10" x14ac:dyDescent="0.3">
      <c r="H26" s="2" t="s">
        <v>128</v>
      </c>
      <c r="I26" s="2" t="s">
        <v>153</v>
      </c>
      <c r="J26" s="2" t="s">
        <v>155</v>
      </c>
    </row>
    <row r="27" spans="8:10" x14ac:dyDescent="0.3">
      <c r="H27" s="2" t="s">
        <v>131</v>
      </c>
      <c r="I27" s="2" t="s">
        <v>156</v>
      </c>
      <c r="J27" s="2" t="s">
        <v>157</v>
      </c>
    </row>
    <row r="28" spans="8:10" x14ac:dyDescent="0.3">
      <c r="H28" s="2" t="s">
        <v>129</v>
      </c>
      <c r="I28" s="2" t="s">
        <v>156</v>
      </c>
      <c r="J28" s="2" t="s">
        <v>158</v>
      </c>
    </row>
    <row r="29" spans="8:10" x14ac:dyDescent="0.3">
      <c r="H29" s="2" t="s">
        <v>130</v>
      </c>
      <c r="I29" s="2" t="s">
        <v>159</v>
      </c>
      <c r="J29" s="2" t="s">
        <v>160</v>
      </c>
    </row>
    <row r="30" spans="8:10" x14ac:dyDescent="0.3">
      <c r="H30" s="2" t="s">
        <v>161</v>
      </c>
      <c r="I30" s="2" t="s">
        <v>162</v>
      </c>
      <c r="J30" s="2" t="s">
        <v>163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6D3B-1330-47AE-B38C-F444B4E856CC}">
  <dimension ref="A1:E13"/>
  <sheetViews>
    <sheetView workbookViewId="0">
      <selection activeCell="D22" sqref="D22"/>
    </sheetView>
  </sheetViews>
  <sheetFormatPr defaultRowHeight="14.4" x14ac:dyDescent="0.3"/>
  <cols>
    <col min="1" max="1" width="34" customWidth="1"/>
    <col min="2" max="2" width="21.109375" customWidth="1"/>
    <col min="3" max="3" width="41.88671875" customWidth="1"/>
    <col min="4" max="4" width="61" customWidth="1"/>
    <col min="5" max="5" width="11.44140625" customWidth="1"/>
  </cols>
  <sheetData>
    <row r="1" spans="1:5" x14ac:dyDescent="0.3">
      <c r="A1" s="4" t="s">
        <v>177</v>
      </c>
      <c r="B1" s="4" t="s">
        <v>178</v>
      </c>
      <c r="C1" s="4" t="s">
        <v>179</v>
      </c>
      <c r="D1" s="4" t="s">
        <v>180</v>
      </c>
      <c r="E1" s="4" t="s">
        <v>0</v>
      </c>
    </row>
    <row r="2" spans="1:5" x14ac:dyDescent="0.3">
      <c r="A2" s="2" t="s">
        <v>181</v>
      </c>
      <c r="B2" s="2" t="s">
        <v>182</v>
      </c>
      <c r="C2" s="2" t="s">
        <v>183</v>
      </c>
      <c r="D2" s="2" t="s">
        <v>184</v>
      </c>
      <c r="E2" s="2" t="s">
        <v>21</v>
      </c>
    </row>
    <row r="3" spans="1:5" x14ac:dyDescent="0.3">
      <c r="A3" s="2" t="s">
        <v>185</v>
      </c>
      <c r="B3" s="2" t="s">
        <v>186</v>
      </c>
      <c r="C3" s="2" t="s">
        <v>39</v>
      </c>
      <c r="D3" s="2" t="s">
        <v>187</v>
      </c>
      <c r="E3" s="2" t="s">
        <v>22</v>
      </c>
    </row>
    <row r="4" spans="1:5" x14ac:dyDescent="0.3">
      <c r="A4" s="2" t="s">
        <v>188</v>
      </c>
      <c r="B4" s="2" t="s">
        <v>189</v>
      </c>
      <c r="C4" s="2" t="s">
        <v>190</v>
      </c>
      <c r="D4" s="2" t="s">
        <v>191</v>
      </c>
      <c r="E4" s="2" t="s">
        <v>23</v>
      </c>
    </row>
    <row r="5" spans="1:5" x14ac:dyDescent="0.3">
      <c r="A5" s="2" t="s">
        <v>192</v>
      </c>
      <c r="B5" s="2" t="s">
        <v>90</v>
      </c>
      <c r="C5" s="2" t="s">
        <v>193</v>
      </c>
      <c r="D5" s="2" t="s">
        <v>194</v>
      </c>
      <c r="E5" s="2" t="s">
        <v>28</v>
      </c>
    </row>
    <row r="6" spans="1:5" x14ac:dyDescent="0.3">
      <c r="A6" s="2" t="s">
        <v>195</v>
      </c>
      <c r="B6" s="2" t="s">
        <v>89</v>
      </c>
      <c r="C6" s="2" t="s">
        <v>196</v>
      </c>
      <c r="D6" s="2" t="s">
        <v>197</v>
      </c>
      <c r="E6" s="2" t="s">
        <v>27</v>
      </c>
    </row>
    <row r="8" spans="1:5" ht="18" x14ac:dyDescent="0.3">
      <c r="A8" s="7" t="s">
        <v>198</v>
      </c>
    </row>
    <row r="10" spans="1:5" x14ac:dyDescent="0.3">
      <c r="A10" t="s">
        <v>199</v>
      </c>
    </row>
    <row r="11" spans="1:5" x14ac:dyDescent="0.3">
      <c r="A11" t="s">
        <v>200</v>
      </c>
    </row>
    <row r="12" spans="1:5" x14ac:dyDescent="0.3">
      <c r="A12" t="s">
        <v>201</v>
      </c>
    </row>
    <row r="13" spans="1:5" x14ac:dyDescent="0.3">
      <c r="A13" t="s">
        <v>202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217F-13B5-42CF-9E26-226A3DA55FD7}">
  <dimension ref="A1:B17"/>
  <sheetViews>
    <sheetView workbookViewId="0">
      <selection activeCell="P14" sqref="P14"/>
    </sheetView>
  </sheetViews>
  <sheetFormatPr defaultRowHeight="14.4" x14ac:dyDescent="0.3"/>
  <cols>
    <col min="1" max="1" width="24.6640625" customWidth="1"/>
    <col min="2" max="2" width="16" customWidth="1"/>
  </cols>
  <sheetData>
    <row r="1" spans="1:2" x14ac:dyDescent="0.3">
      <c r="A1" s="4" t="s">
        <v>164</v>
      </c>
      <c r="B1" s="4" t="s">
        <v>165</v>
      </c>
    </row>
    <row r="2" spans="1:2" x14ac:dyDescent="0.3">
      <c r="A2" s="2" t="s">
        <v>166</v>
      </c>
      <c r="B2" s="2">
        <v>100</v>
      </c>
    </row>
    <row r="3" spans="1:2" x14ac:dyDescent="0.3">
      <c r="A3" s="2" t="s">
        <v>167</v>
      </c>
      <c r="B3" s="2">
        <v>70</v>
      </c>
    </row>
    <row r="4" spans="1:2" x14ac:dyDescent="0.3">
      <c r="A4" s="2" t="s">
        <v>168</v>
      </c>
      <c r="B4" s="2">
        <v>45</v>
      </c>
    </row>
    <row r="5" spans="1:2" x14ac:dyDescent="0.3">
      <c r="A5" s="2" t="s">
        <v>169</v>
      </c>
      <c r="B5" s="2">
        <v>25</v>
      </c>
    </row>
    <row r="6" spans="1:2" x14ac:dyDescent="0.3">
      <c r="A6" s="2" t="s">
        <v>170</v>
      </c>
      <c r="B6" s="2">
        <v>15</v>
      </c>
    </row>
    <row r="11" spans="1:2" ht="18" x14ac:dyDescent="0.3">
      <c r="A11" s="7" t="s">
        <v>171</v>
      </c>
    </row>
    <row r="13" spans="1:2" x14ac:dyDescent="0.3">
      <c r="A13" t="s">
        <v>172</v>
      </c>
    </row>
    <row r="14" spans="1:2" x14ac:dyDescent="0.3">
      <c r="A14" t="s">
        <v>173</v>
      </c>
    </row>
    <row r="15" spans="1:2" x14ac:dyDescent="0.3">
      <c r="A15" t="s">
        <v>174</v>
      </c>
    </row>
    <row r="16" spans="1:2" x14ac:dyDescent="0.3">
      <c r="A16" t="s">
        <v>175</v>
      </c>
    </row>
    <row r="17" spans="1:1" x14ac:dyDescent="0.3">
      <c r="A17" t="s">
        <v>176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37AA-01E3-447B-91A1-AF02EF144B7B}">
  <dimension ref="A1:D13"/>
  <sheetViews>
    <sheetView tabSelected="1" workbookViewId="0">
      <selection activeCell="B19" sqref="B19"/>
    </sheetView>
  </sheetViews>
  <sheetFormatPr defaultRowHeight="14.4" x14ac:dyDescent="0.3"/>
  <cols>
    <col min="1" max="1" width="38" customWidth="1"/>
    <col min="2" max="2" width="60.109375" customWidth="1"/>
    <col min="3" max="3" width="49.109375" customWidth="1"/>
    <col min="4" max="4" width="66" customWidth="1"/>
  </cols>
  <sheetData>
    <row r="1" spans="1:4" x14ac:dyDescent="0.3">
      <c r="A1" s="4" t="s">
        <v>203</v>
      </c>
      <c r="B1" s="4" t="s">
        <v>204</v>
      </c>
      <c r="C1" s="4" t="s">
        <v>205</v>
      </c>
      <c r="D1" s="4" t="s">
        <v>206</v>
      </c>
    </row>
    <row r="2" spans="1:4" x14ac:dyDescent="0.3">
      <c r="A2" s="2" t="s">
        <v>207</v>
      </c>
      <c r="B2" s="2" t="s">
        <v>208</v>
      </c>
      <c r="C2" s="2" t="s">
        <v>209</v>
      </c>
      <c r="D2" s="2" t="s">
        <v>210</v>
      </c>
    </row>
    <row r="3" spans="1:4" x14ac:dyDescent="0.3">
      <c r="A3" s="2" t="s">
        <v>211</v>
      </c>
      <c r="B3" s="2" t="s">
        <v>212</v>
      </c>
      <c r="C3" s="2" t="s">
        <v>213</v>
      </c>
      <c r="D3" s="2" t="s">
        <v>214</v>
      </c>
    </row>
    <row r="4" spans="1:4" x14ac:dyDescent="0.3">
      <c r="A4" s="2" t="s">
        <v>215</v>
      </c>
      <c r="B4" s="2" t="s">
        <v>216</v>
      </c>
      <c r="C4" s="2" t="s">
        <v>217</v>
      </c>
      <c r="D4" s="2" t="s">
        <v>218</v>
      </c>
    </row>
    <row r="5" spans="1:4" x14ac:dyDescent="0.3">
      <c r="A5" s="2" t="s">
        <v>219</v>
      </c>
      <c r="B5" s="2" t="s">
        <v>220</v>
      </c>
      <c r="C5" s="2" t="s">
        <v>221</v>
      </c>
      <c r="D5" s="2" t="s">
        <v>222</v>
      </c>
    </row>
    <row r="6" spans="1:4" x14ac:dyDescent="0.3">
      <c r="A6" s="2" t="s">
        <v>223</v>
      </c>
      <c r="B6" s="2" t="s">
        <v>224</v>
      </c>
      <c r="C6" s="2" t="s">
        <v>225</v>
      </c>
      <c r="D6" s="2" t="s">
        <v>226</v>
      </c>
    </row>
    <row r="11" spans="1:4" ht="18" x14ac:dyDescent="0.3">
      <c r="A11" s="7" t="s">
        <v>227</v>
      </c>
    </row>
    <row r="13" spans="1:4" x14ac:dyDescent="0.3">
      <c r="A1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Source_log</vt:lpstr>
      <vt:lpstr>Assumptions</vt:lpstr>
      <vt:lpstr>Market_Size_CAGR</vt:lpstr>
      <vt:lpstr>Maturity_Index</vt:lpstr>
      <vt:lpstr>Sector_Adoption</vt:lpstr>
      <vt:lpstr>Enablers_Govt</vt:lpstr>
      <vt:lpstr>Bottlenecks</vt:lpstr>
      <vt:lpstr>Frameworks_Output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Jangra</dc:creator>
  <cp:lastModifiedBy>Ishika Jangra</cp:lastModifiedBy>
  <dcterms:created xsi:type="dcterms:W3CDTF">2026-03-03T06:03:09Z</dcterms:created>
  <dcterms:modified xsi:type="dcterms:W3CDTF">2026-03-06T09:44:30Z</dcterms:modified>
</cp:coreProperties>
</file>